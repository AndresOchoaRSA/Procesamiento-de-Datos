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\Desktop\"/>
    </mc:Choice>
  </mc:AlternateContent>
  <xr:revisionPtr revIDLastSave="0" documentId="13_ncr:1_{49A62E00-F16F-4037-8F2E-1EC506138A1C}" xr6:coauthVersionLast="47" xr6:coauthVersionMax="47" xr10:uidLastSave="{00000000-0000-0000-0000-000000000000}"/>
  <bookViews>
    <workbookView xWindow="-120" yWindow="-120" windowWidth="20730" windowHeight="11160" firstSheet="2" activeTab="3" xr2:uid="{C159E38D-9BC0-4463-AE8F-2344B396BB81}"/>
  </bookViews>
  <sheets>
    <sheet name="validacion" sheetId="1" r:id="rId1"/>
    <sheet name="graficoGenero" sheetId="4" r:id="rId2"/>
    <sheet name="Hoja6" sheetId="6" r:id="rId3"/>
    <sheet name="dataTiempo" sheetId="2" r:id="rId4"/>
    <sheet name="Hoja5" sheetId="5" r:id="rId5"/>
    <sheet name="dataFemenino" sheetId="3" r:id="rId6"/>
  </sheets>
  <definedNames>
    <definedName name="_xlnm._FilterDatabase" localSheetId="3" hidden="1">dataTiempo!$A$1:$E$31</definedName>
    <definedName name="_xlchart.v1.0" hidden="1">dataTiempo!$C$1</definedName>
    <definedName name="_xlchart.v1.1" hidden="1">dataTiempo!$C$2:$C$31</definedName>
    <definedName name="_xlchart.v1.2" hidden="1">Hoja5!$A$2:$A$31</definedName>
    <definedName name="_xlchart.v1.3" hidden="1">Hoja5!$B$1</definedName>
    <definedName name="_xlchart.v1.4" hidden="1">Hoja5!$B$2:$B$31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<sst xmlns="http://schemas.openxmlformats.org/spreadsheetml/2006/main" count="233" uniqueCount="45">
  <si>
    <t>id</t>
  </si>
  <si>
    <t>genero</t>
  </si>
  <si>
    <t>edad</t>
  </si>
  <si>
    <t>ClaseSocial</t>
  </si>
  <si>
    <t>Tiempo</t>
  </si>
  <si>
    <t>Femenino</t>
  </si>
  <si>
    <t>Masculino</t>
  </si>
  <si>
    <t>Otro</t>
  </si>
  <si>
    <t>Baja</t>
  </si>
  <si>
    <t>Media</t>
  </si>
  <si>
    <t>Alta</t>
  </si>
  <si>
    <t>TiempoCod</t>
  </si>
  <si>
    <t>Eficiente</t>
  </si>
  <si>
    <t>Normal</t>
  </si>
  <si>
    <t>Demorado</t>
  </si>
  <si>
    <t>TiempoRecod</t>
  </si>
  <si>
    <t>Cuenta de genero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</si>
  <si>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</si>
  <si>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</si>
  <si>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</si>
  <si>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</si>
  <si>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</si>
  <si>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</si>
  <si>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</si>
  <si>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</si>
  <si>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</si>
  <si>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</si>
  <si>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</si>
  <si>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</si>
  <si>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</si>
  <si>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</si>
  <si>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</si>
  <si>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</si>
  <si>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</si>
  <si>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</si>
  <si>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</si>
  <si>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</si>
  <si>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</si>
  <si>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</si>
  <si>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</si>
  <si>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</si>
  <si>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Variable X 1</t>
  </si>
  <si>
    <t>Análisis de los residuales</t>
  </si>
  <si>
    <t>Observación</t>
  </si>
  <si>
    <t>Pronóstico para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</si>
</sst>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2" fillId="2" borderId="3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[TiemposSucursal.xlsx]graficoGenero!TablaDinámica5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Diagrama</a:t>
            </a:r>
            <a:r>
              <a:rPr lang="es-EC" baseline="0"/>
              <a:t> de barras para la variable Género.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graficoGenero!$B$3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graficoGenero!$A$4:$A$6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graficoGenero!$B$4:$B$6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D-44C5-BE3A-13CA21C30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618544"/>
        <c:axId val="943610384"/>
      </c:barChart>
      <c:catAx>
        <c:axId val="94361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Género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43610384"/>
        <c:crosses val="autoZero"/>
        <c:auto val="1"/>
        <c:lblAlgn val="ctr"/>
        <c:lblOffset val="100"/>
        <c:noMultiLvlLbl val="0"/>
      </c:catAx>
      <c:valAx>
        <c:axId val="94361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Frecuencia</a:t>
                </a:r>
                <a:r>
                  <a:rPr lang="es-EC" baseline="0"/>
                  <a:t> absoluta</a:t>
                </a: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4361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Histograma de las Edades.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de las Edades.</a:t>
          </a:r>
        </a:p>
      </cx:txPr>
    </cx:title>
    <cx:plotArea>
      <cx:plotAreaRegion>
        <cx:series layoutId="clusteredColumn" uniqueId="{15114AF5-72FA-4119-9B81-1C6720EC0565}">
          <cx:tx>
            <cx:txData>
              <cx:f>_xlchart.v1.0</cx:f>
              <cx:v>edad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Edad de las personas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Edad de las personas</a:t>
              </a:r>
            </a:p>
          </cx:txPr>
        </cx:title>
        <cx:tickLabels/>
      </cx:axis>
      <cx:axis id="1">
        <cx:valScaling/>
        <cx:title>
          <cx:tx>
            <cx:txData>
              <cx:v>Frecuencia absoluta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Frecuencia absoluta</a:t>
              </a:r>
            </a:p>
          </cx:txPr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Diagrama de cajas Tiempo de Espera vs Clase Social.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Diagrama de cajas Tiempo de Espera vs Clase Social.</a:t>
          </a:r>
        </a:p>
      </cx:txPr>
    </cx:title>
    <cx:plotArea>
      <cx:plotAreaRegion>
        <cx:series layoutId="boxWhisker" uniqueId="{E17B39F3-649B-45DD-AE7A-7836CAA6BE64}">
          <cx:tx>
            <cx:txData>
              <cx:f>_xlchart.v1.3</cx:f>
              <cx:v>Tiempo</cx:v>
            </cx:txData>
          </cx:tx>
          <cx:spPr>
            <a:solidFill>
              <a:schemeClr val="accent3">
                <a:lumMod val="40000"/>
                <a:lumOff val="60000"/>
              </a:schemeClr>
            </a:solidFill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Clase Social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Clase Social</a:t>
              </a:r>
            </a:p>
          </cx:txPr>
        </cx:title>
        <cx:tickLabels/>
      </cx:axis>
      <cx:axis id="1">
        <cx:valScaling/>
        <cx:title>
          <cx:tx>
            <cx:txData>
              <cx:v>Tiempo de Espera 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Tiempo de Espera (min)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2</xdr:row>
      <xdr:rowOff>95250</xdr:rowOff>
    </xdr:from>
    <xdr:to>
      <xdr:col>10</xdr:col>
      <xdr:colOff>676275</xdr:colOff>
      <xdr:row>17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4D5991-1AB1-6C2C-9FC4-EC87B9CF9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9</xdr:row>
      <xdr:rowOff>171450</xdr:rowOff>
    </xdr:from>
    <xdr:to>
      <xdr:col>15</xdr:col>
      <xdr:colOff>231322</xdr:colOff>
      <xdr:row>28</xdr:row>
      <xdr:rowOff>163285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5840990-FA71-2381-5915-7D487F35C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7025" y="1885950"/>
              <a:ext cx="5098597" cy="3611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12</xdr:row>
      <xdr:rowOff>38100</xdr:rowOff>
    </xdr:from>
    <xdr:to>
      <xdr:col>11</xdr:col>
      <xdr:colOff>533399</xdr:colOff>
      <xdr:row>28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EA09120-62B0-EA2B-1350-1F4EB19D4D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4" y="2324100"/>
              <a:ext cx="4924425" cy="3119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73.361551273149" createdVersion="8" refreshedVersion="8" minRefreshableVersion="3" recordCount="30" xr:uid="{2B327C4A-DDC3-4DE2-A6AA-6383DAA4FE2A}">
  <cacheSource type="worksheet">
    <worksheetSource ref="A1:G31" sheet="dataTiempo"/>
  </cacheSource>
  <cacheFields count="7">
    <cacheField name="id" numFmtId="0">
      <sharedItems containsSemiMixedTypes="0" containsString="0" containsNumber="1" containsInteger="1" minValue="1" maxValue="30"/>
    </cacheField>
    <cacheField name="genero" numFmtId="0">
      <sharedItems count="3">
        <s v="Femenino"/>
        <s v="Masculino"/>
        <s v="Otro"/>
      </sharedItems>
    </cacheField>
    <cacheField name="edad" numFmtId="0">
      <sharedItems containsSemiMixedTypes="0" containsString="0" containsNumber="1" containsInteger="1" minValue="21" maxValue="60"/>
    </cacheField>
    <cacheField name="ClaseSocial" numFmtId="0">
      <sharedItems/>
    </cacheField>
    <cacheField name="Tiempo" numFmtId="0">
      <sharedItems containsSemiMixedTypes="0" containsString="0" containsNumber="1" containsInteger="1" minValue="5" maxValue="59"/>
    </cacheField>
    <cacheField name="TiempoCod" numFmtId="0">
      <sharedItems/>
    </cacheField>
    <cacheField name="TiempoRec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n v="35"/>
    <s v="Baja"/>
    <n v="22"/>
    <s v="demorado"/>
    <s v="Demorado"/>
  </r>
  <r>
    <n v="2"/>
    <x v="0"/>
    <n v="33"/>
    <s v="Media"/>
    <n v="52"/>
    <s v="demorado"/>
    <s v="Demorado"/>
  </r>
  <r>
    <n v="3"/>
    <x v="0"/>
    <n v="59"/>
    <s v="Alta"/>
    <n v="58"/>
    <s v="demorado"/>
    <s v="Demorado"/>
  </r>
  <r>
    <n v="4"/>
    <x v="0"/>
    <n v="54"/>
    <s v="Baja"/>
    <n v="35"/>
    <s v="demorado"/>
    <s v="Demorado"/>
  </r>
  <r>
    <n v="5"/>
    <x v="0"/>
    <n v="22"/>
    <s v="Media"/>
    <n v="54"/>
    <s v="demorado"/>
    <s v="Demorado"/>
  </r>
  <r>
    <n v="6"/>
    <x v="0"/>
    <n v="42"/>
    <s v="Alta"/>
    <n v="56"/>
    <s v="demorado"/>
    <s v="Demorado"/>
  </r>
  <r>
    <n v="7"/>
    <x v="0"/>
    <n v="23"/>
    <s v="Baja"/>
    <n v="29"/>
    <s v="demorado"/>
    <s v="Demorado"/>
  </r>
  <r>
    <n v="8"/>
    <x v="0"/>
    <n v="22"/>
    <s v="Media"/>
    <n v="20"/>
    <s v="demorado"/>
    <s v="Normal"/>
  </r>
  <r>
    <n v="9"/>
    <x v="0"/>
    <n v="35"/>
    <s v="Alta"/>
    <n v="12"/>
    <s v="normal"/>
    <s v="Normal"/>
  </r>
  <r>
    <n v="10"/>
    <x v="0"/>
    <n v="27"/>
    <s v="Baja"/>
    <n v="40"/>
    <s v="demorado"/>
    <s v="Demorado"/>
  </r>
  <r>
    <n v="11"/>
    <x v="1"/>
    <n v="60"/>
    <s v="Media"/>
    <n v="35"/>
    <s v="demorado"/>
    <s v="Demorado"/>
  </r>
  <r>
    <n v="12"/>
    <x v="1"/>
    <n v="56"/>
    <s v="Alta"/>
    <n v="53"/>
    <s v="demorado"/>
    <s v="Demorado"/>
  </r>
  <r>
    <n v="13"/>
    <x v="1"/>
    <n v="33"/>
    <s v="Baja"/>
    <n v="59"/>
    <s v="demorado"/>
    <s v="Demorado"/>
  </r>
  <r>
    <n v="14"/>
    <x v="1"/>
    <n v="21"/>
    <s v="Media"/>
    <n v="49"/>
    <s v="demorado"/>
    <s v="Demorado"/>
  </r>
  <r>
    <n v="15"/>
    <x v="1"/>
    <n v="39"/>
    <s v="Alta"/>
    <n v="5"/>
    <s v="normal"/>
    <s v="Eficiente"/>
  </r>
  <r>
    <n v="16"/>
    <x v="1"/>
    <n v="53"/>
    <s v="Baja"/>
    <n v="12"/>
    <s v="normal"/>
    <s v="Normal"/>
  </r>
  <r>
    <n v="17"/>
    <x v="1"/>
    <n v="42"/>
    <s v="Media"/>
    <n v="58"/>
    <s v="demorado"/>
    <s v="Demorado"/>
  </r>
  <r>
    <n v="18"/>
    <x v="1"/>
    <n v="44"/>
    <s v="Alta"/>
    <n v="52"/>
    <s v="demorado"/>
    <s v="Demorado"/>
  </r>
  <r>
    <n v="19"/>
    <x v="1"/>
    <n v="59"/>
    <s v="Baja"/>
    <n v="28"/>
    <s v="demorado"/>
    <s v="Demorado"/>
  </r>
  <r>
    <n v="20"/>
    <x v="1"/>
    <n v="33"/>
    <s v="Media"/>
    <n v="20"/>
    <s v="demorado"/>
    <s v="Normal"/>
  </r>
  <r>
    <n v="21"/>
    <x v="2"/>
    <n v="46"/>
    <s v="Alta"/>
    <n v="38"/>
    <s v="demorado"/>
    <s v="Demorado"/>
  </r>
  <r>
    <n v="22"/>
    <x v="2"/>
    <n v="40"/>
    <s v="Baja"/>
    <n v="40"/>
    <s v="demorado"/>
    <s v="Demorado"/>
  </r>
  <r>
    <n v="23"/>
    <x v="2"/>
    <n v="58"/>
    <s v="Media"/>
    <n v="10"/>
    <s v="normal"/>
    <s v="Eficiente"/>
  </r>
  <r>
    <n v="24"/>
    <x v="2"/>
    <n v="26"/>
    <s v="Alta"/>
    <n v="36"/>
    <s v="demorado"/>
    <s v="Demorado"/>
  </r>
  <r>
    <n v="25"/>
    <x v="2"/>
    <n v="60"/>
    <s v="Baja"/>
    <n v="26"/>
    <s v="demorado"/>
    <s v="Demorado"/>
  </r>
  <r>
    <n v="26"/>
    <x v="2"/>
    <n v="59"/>
    <s v="Media"/>
    <n v="18"/>
    <s v="normal"/>
    <s v="Normal"/>
  </r>
  <r>
    <n v="27"/>
    <x v="2"/>
    <n v="59"/>
    <s v="Alta"/>
    <n v="23"/>
    <s v="demorado"/>
    <s v="Demorado"/>
  </r>
  <r>
    <n v="28"/>
    <x v="2"/>
    <n v="30"/>
    <s v="Baja"/>
    <n v="8"/>
    <s v="normal"/>
    <s v="Eficiente"/>
  </r>
  <r>
    <n v="29"/>
    <x v="2"/>
    <n v="57"/>
    <s v="Media"/>
    <n v="20"/>
    <s v="demorado"/>
    <s v="Normal"/>
  </r>
  <r>
    <n v="30"/>
    <x v="2"/>
    <n v="45"/>
    <s v="Alta"/>
    <n v="41"/>
    <s v="demorado"/>
    <s v="Demor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7028E-5552-4231-A889-8B76A2318CA5}" name="TablaDiná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uenta de genero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999D-8991-45B1-866A-79D0C57C3026}">
  <dimension ref="A1:I31"/>
  <sheetViews>
    <sheetView topLeftCell="A21" zoomScale="180" zoomScaleNormal="180" workbookViewId="0">
      <selection sqref="A1:E31"/>
    </sheetView>
  </sheetViews>
  <sheetFormatPr baseColWidth="10" defaultRowHeight="15" zeroHeight="1" x14ac:dyDescent="0.25"/>
  <cols>
    <col min="8" max="9" width="0" hidden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>
        <v>1</v>
      </c>
      <c r="B2" t="s">
        <v>5</v>
      </c>
      <c r="C2">
        <f ca="1">RANDBETWEEN(20,60)</f>
        <v>49</v>
      </c>
      <c r="D2" t="s">
        <v>8</v>
      </c>
      <c r="E2">
        <f ca="1">RANDBETWEEN(5,60)</f>
        <v>8</v>
      </c>
    </row>
    <row r="3" spans="1:9" x14ac:dyDescent="0.25">
      <c r="A3">
        <v>2</v>
      </c>
      <c r="B3" t="s">
        <v>5</v>
      </c>
      <c r="C3">
        <f t="shared" ref="C3:C31" ca="1" si="0">RANDBETWEEN(20,60)</f>
        <v>50</v>
      </c>
      <c r="D3" t="s">
        <v>9</v>
      </c>
      <c r="E3">
        <f t="shared" ref="E3:E31" ca="1" si="1">RANDBETWEEN(5,60)</f>
        <v>38</v>
      </c>
      <c r="H3" t="s">
        <v>5</v>
      </c>
      <c r="I3" t="s">
        <v>8</v>
      </c>
    </row>
    <row r="4" spans="1:9" x14ac:dyDescent="0.25">
      <c r="A4">
        <v>3</v>
      </c>
      <c r="B4" t="s">
        <v>5</v>
      </c>
      <c r="C4">
        <f t="shared" ca="1" si="0"/>
        <v>42</v>
      </c>
      <c r="D4" t="s">
        <v>10</v>
      </c>
      <c r="E4">
        <f t="shared" ca="1" si="1"/>
        <v>24</v>
      </c>
      <c r="H4" t="s">
        <v>6</v>
      </c>
      <c r="I4" t="s">
        <v>9</v>
      </c>
    </row>
    <row r="5" spans="1:9" x14ac:dyDescent="0.25">
      <c r="A5">
        <v>4</v>
      </c>
      <c r="B5" t="s">
        <v>5</v>
      </c>
      <c r="C5">
        <f t="shared" ca="1" si="0"/>
        <v>46</v>
      </c>
      <c r="D5" t="s">
        <v>8</v>
      </c>
      <c r="E5">
        <f t="shared" ca="1" si="1"/>
        <v>58</v>
      </c>
      <c r="H5" t="s">
        <v>7</v>
      </c>
      <c r="I5" t="s">
        <v>10</v>
      </c>
    </row>
    <row r="6" spans="1:9" x14ac:dyDescent="0.25">
      <c r="A6">
        <v>5</v>
      </c>
      <c r="B6" t="s">
        <v>5</v>
      </c>
      <c r="C6">
        <f t="shared" ca="1" si="0"/>
        <v>49</v>
      </c>
      <c r="D6" t="s">
        <v>9</v>
      </c>
      <c r="E6">
        <f t="shared" ca="1" si="1"/>
        <v>32</v>
      </c>
    </row>
    <row r="7" spans="1:9" x14ac:dyDescent="0.25">
      <c r="A7">
        <v>6</v>
      </c>
      <c r="B7" t="s">
        <v>5</v>
      </c>
      <c r="C7">
        <f t="shared" ca="1" si="0"/>
        <v>36</v>
      </c>
      <c r="D7" t="s">
        <v>10</v>
      </c>
      <c r="E7">
        <f t="shared" ca="1" si="1"/>
        <v>41</v>
      </c>
    </row>
    <row r="8" spans="1:9" x14ac:dyDescent="0.25">
      <c r="A8">
        <v>7</v>
      </c>
      <c r="B8" t="s">
        <v>5</v>
      </c>
      <c r="C8">
        <f t="shared" ca="1" si="0"/>
        <v>38</v>
      </c>
      <c r="D8" t="s">
        <v>8</v>
      </c>
      <c r="E8">
        <f t="shared" ca="1" si="1"/>
        <v>13</v>
      </c>
    </row>
    <row r="9" spans="1:9" x14ac:dyDescent="0.25">
      <c r="A9">
        <v>8</v>
      </c>
      <c r="B9" t="s">
        <v>5</v>
      </c>
      <c r="C9">
        <f t="shared" ca="1" si="0"/>
        <v>24</v>
      </c>
      <c r="D9" t="s">
        <v>9</v>
      </c>
      <c r="E9">
        <f t="shared" ca="1" si="1"/>
        <v>30</v>
      </c>
    </row>
    <row r="10" spans="1:9" x14ac:dyDescent="0.25">
      <c r="A10">
        <v>9</v>
      </c>
      <c r="B10" t="s">
        <v>5</v>
      </c>
      <c r="C10">
        <f t="shared" ca="1" si="0"/>
        <v>38</v>
      </c>
      <c r="D10" t="s">
        <v>10</v>
      </c>
      <c r="E10">
        <f t="shared" ca="1" si="1"/>
        <v>7</v>
      </c>
    </row>
    <row r="11" spans="1:9" x14ac:dyDescent="0.25">
      <c r="A11">
        <v>10</v>
      </c>
      <c r="B11" t="s">
        <v>5</v>
      </c>
      <c r="C11">
        <f t="shared" ca="1" si="0"/>
        <v>39</v>
      </c>
      <c r="D11" t="s">
        <v>8</v>
      </c>
      <c r="E11">
        <f t="shared" ca="1" si="1"/>
        <v>34</v>
      </c>
    </row>
    <row r="12" spans="1:9" x14ac:dyDescent="0.25">
      <c r="A12">
        <v>11</v>
      </c>
      <c r="B12" t="s">
        <v>6</v>
      </c>
      <c r="C12">
        <f t="shared" ca="1" si="0"/>
        <v>26</v>
      </c>
      <c r="D12" t="s">
        <v>9</v>
      </c>
      <c r="E12">
        <f t="shared" ca="1" si="1"/>
        <v>12</v>
      </c>
    </row>
    <row r="13" spans="1:9" x14ac:dyDescent="0.25">
      <c r="A13">
        <v>12</v>
      </c>
      <c r="B13" t="s">
        <v>6</v>
      </c>
      <c r="C13">
        <f t="shared" ca="1" si="0"/>
        <v>34</v>
      </c>
      <c r="D13" t="s">
        <v>10</v>
      </c>
      <c r="E13">
        <f t="shared" ca="1" si="1"/>
        <v>18</v>
      </c>
    </row>
    <row r="14" spans="1:9" x14ac:dyDescent="0.25">
      <c r="A14">
        <v>13</v>
      </c>
      <c r="B14" t="s">
        <v>6</v>
      </c>
      <c r="C14">
        <f t="shared" ca="1" si="0"/>
        <v>55</v>
      </c>
      <c r="D14" t="s">
        <v>8</v>
      </c>
      <c r="E14">
        <f t="shared" ca="1" si="1"/>
        <v>5</v>
      </c>
    </row>
    <row r="15" spans="1:9" x14ac:dyDescent="0.25">
      <c r="A15">
        <v>14</v>
      </c>
      <c r="B15" t="s">
        <v>6</v>
      </c>
      <c r="C15">
        <f t="shared" ca="1" si="0"/>
        <v>56</v>
      </c>
      <c r="D15" t="s">
        <v>9</v>
      </c>
      <c r="E15">
        <f t="shared" ca="1" si="1"/>
        <v>18</v>
      </c>
    </row>
    <row r="16" spans="1:9" x14ac:dyDescent="0.25">
      <c r="A16">
        <v>15</v>
      </c>
      <c r="B16" t="s">
        <v>6</v>
      </c>
      <c r="C16">
        <f t="shared" ca="1" si="0"/>
        <v>23</v>
      </c>
      <c r="D16" t="s">
        <v>10</v>
      </c>
      <c r="E16">
        <f t="shared" ca="1" si="1"/>
        <v>58</v>
      </c>
    </row>
    <row r="17" spans="1:5" x14ac:dyDescent="0.25">
      <c r="A17">
        <v>16</v>
      </c>
      <c r="B17" t="s">
        <v>6</v>
      </c>
      <c r="C17">
        <f t="shared" ca="1" si="0"/>
        <v>36</v>
      </c>
      <c r="D17" t="s">
        <v>8</v>
      </c>
      <c r="E17">
        <f t="shared" ca="1" si="1"/>
        <v>55</v>
      </c>
    </row>
    <row r="18" spans="1:5" x14ac:dyDescent="0.25">
      <c r="A18">
        <v>17</v>
      </c>
      <c r="B18" t="s">
        <v>6</v>
      </c>
      <c r="C18">
        <f t="shared" ca="1" si="0"/>
        <v>32</v>
      </c>
      <c r="D18" t="s">
        <v>9</v>
      </c>
      <c r="E18">
        <f t="shared" ca="1" si="1"/>
        <v>5</v>
      </c>
    </row>
    <row r="19" spans="1:5" x14ac:dyDescent="0.25">
      <c r="A19">
        <v>18</v>
      </c>
      <c r="B19" t="s">
        <v>6</v>
      </c>
      <c r="C19">
        <f t="shared" ca="1" si="0"/>
        <v>45</v>
      </c>
      <c r="D19" t="s">
        <v>10</v>
      </c>
      <c r="E19">
        <f t="shared" ca="1" si="1"/>
        <v>9</v>
      </c>
    </row>
    <row r="20" spans="1:5" x14ac:dyDescent="0.25">
      <c r="A20">
        <v>19</v>
      </c>
      <c r="B20" t="s">
        <v>6</v>
      </c>
      <c r="C20">
        <f t="shared" ca="1" si="0"/>
        <v>52</v>
      </c>
      <c r="D20" t="s">
        <v>8</v>
      </c>
      <c r="E20">
        <f t="shared" ca="1" si="1"/>
        <v>48</v>
      </c>
    </row>
    <row r="21" spans="1:5" x14ac:dyDescent="0.25">
      <c r="A21">
        <v>20</v>
      </c>
      <c r="B21" t="s">
        <v>6</v>
      </c>
      <c r="C21">
        <f t="shared" ca="1" si="0"/>
        <v>60</v>
      </c>
      <c r="D21" t="s">
        <v>9</v>
      </c>
      <c r="E21">
        <f t="shared" ca="1" si="1"/>
        <v>7</v>
      </c>
    </row>
    <row r="22" spans="1:5" x14ac:dyDescent="0.25">
      <c r="A22">
        <v>21</v>
      </c>
      <c r="B22" t="s">
        <v>7</v>
      </c>
      <c r="C22">
        <f t="shared" ca="1" si="0"/>
        <v>21</v>
      </c>
      <c r="D22" t="s">
        <v>10</v>
      </c>
      <c r="E22">
        <f t="shared" ca="1" si="1"/>
        <v>30</v>
      </c>
    </row>
    <row r="23" spans="1:5" x14ac:dyDescent="0.25">
      <c r="A23">
        <v>22</v>
      </c>
      <c r="B23" t="s">
        <v>7</v>
      </c>
      <c r="C23">
        <f t="shared" ca="1" si="0"/>
        <v>25</v>
      </c>
      <c r="D23" t="s">
        <v>8</v>
      </c>
      <c r="E23">
        <f t="shared" ca="1" si="1"/>
        <v>56</v>
      </c>
    </row>
    <row r="24" spans="1:5" x14ac:dyDescent="0.25">
      <c r="A24">
        <v>23</v>
      </c>
      <c r="B24" t="s">
        <v>7</v>
      </c>
      <c r="C24">
        <f t="shared" ca="1" si="0"/>
        <v>51</v>
      </c>
      <c r="D24" t="s">
        <v>9</v>
      </c>
      <c r="E24">
        <f t="shared" ca="1" si="1"/>
        <v>7</v>
      </c>
    </row>
    <row r="25" spans="1:5" x14ac:dyDescent="0.25">
      <c r="A25">
        <v>24</v>
      </c>
      <c r="B25" t="s">
        <v>7</v>
      </c>
      <c r="C25">
        <f t="shared" ca="1" si="0"/>
        <v>37</v>
      </c>
      <c r="D25" t="s">
        <v>10</v>
      </c>
      <c r="E25">
        <f t="shared" ca="1" si="1"/>
        <v>31</v>
      </c>
    </row>
    <row r="26" spans="1:5" x14ac:dyDescent="0.25">
      <c r="A26">
        <v>25</v>
      </c>
      <c r="B26" t="s">
        <v>7</v>
      </c>
      <c r="C26">
        <f t="shared" ca="1" si="0"/>
        <v>30</v>
      </c>
      <c r="D26" t="s">
        <v>8</v>
      </c>
      <c r="E26">
        <f t="shared" ca="1" si="1"/>
        <v>25</v>
      </c>
    </row>
    <row r="27" spans="1:5" x14ac:dyDescent="0.25">
      <c r="A27">
        <v>26</v>
      </c>
      <c r="B27" t="s">
        <v>7</v>
      </c>
      <c r="C27">
        <f t="shared" ca="1" si="0"/>
        <v>46</v>
      </c>
      <c r="D27" t="s">
        <v>9</v>
      </c>
      <c r="E27">
        <f t="shared" ca="1" si="1"/>
        <v>11</v>
      </c>
    </row>
    <row r="28" spans="1:5" x14ac:dyDescent="0.25">
      <c r="A28">
        <v>27</v>
      </c>
      <c r="B28" t="s">
        <v>7</v>
      </c>
      <c r="C28">
        <f t="shared" ca="1" si="0"/>
        <v>28</v>
      </c>
      <c r="D28" t="s">
        <v>10</v>
      </c>
      <c r="E28">
        <f t="shared" ca="1" si="1"/>
        <v>52</v>
      </c>
    </row>
    <row r="29" spans="1:5" x14ac:dyDescent="0.25">
      <c r="A29">
        <v>28</v>
      </c>
      <c r="B29" t="s">
        <v>7</v>
      </c>
      <c r="C29">
        <f t="shared" ca="1" si="0"/>
        <v>31</v>
      </c>
      <c r="D29" t="s">
        <v>8</v>
      </c>
      <c r="E29">
        <f t="shared" ca="1" si="1"/>
        <v>48</v>
      </c>
    </row>
    <row r="30" spans="1:5" x14ac:dyDescent="0.25">
      <c r="A30">
        <v>29</v>
      </c>
      <c r="B30" t="s">
        <v>7</v>
      </c>
      <c r="C30">
        <f t="shared" ca="1" si="0"/>
        <v>40</v>
      </c>
      <c r="D30" t="s">
        <v>9</v>
      </c>
      <c r="E30">
        <f t="shared" ca="1" si="1"/>
        <v>6</v>
      </c>
    </row>
    <row r="31" spans="1:5" x14ac:dyDescent="0.25">
      <c r="A31">
        <v>30</v>
      </c>
      <c r="B31" t="s">
        <v>7</v>
      </c>
      <c r="C31">
        <f t="shared" ca="1" si="0"/>
        <v>38</v>
      </c>
      <c r="D31" t="s">
        <v>10</v>
      </c>
      <c r="E31">
        <f t="shared" ca="1" si="1"/>
        <v>8</v>
      </c>
    </row>
  </sheetData>
  <dataValidations count="4">
    <dataValidation type="list" allowBlank="1" showInputMessage="1" showErrorMessage="1" error="Por favor digite el género con el cuál la persona se identifica:_x000a__x000a_Femenino, Masculino, Otro." sqref="B2:B31" xr:uid="{BD6F8450-94A8-4E9D-AB8F-F12E10C15BA8}">
      <formula1>$H$3:$H$5</formula1>
    </dataValidation>
    <dataValidation type="decimal" allowBlank="1" showInputMessage="1" showErrorMessage="1" error="Por favor digite la Edad en un rango de 18 a 100 años." sqref="C2:C31" xr:uid="{1C2EBCCD-0A08-4391-942C-F4F37780E93C}">
      <formula1>18</formula1>
      <formula2>100</formula2>
    </dataValidation>
    <dataValidation type="list" allowBlank="1" showInputMessage="1" showErrorMessage="1" error="Por favor digite solamente clase social: Baja, Media, Alta." sqref="D2:D31" xr:uid="{26261571-FA19-4D5F-97DA-9C8FC55D314B}">
      <formula1>$I$3:$I$5</formula1>
    </dataValidation>
    <dataValidation type="decimal" allowBlank="1" showInputMessage="1" showErrorMessage="1" error="Por favor sólo digite el Tiempo de Espera entre 0 a 300 minutos." sqref="E2:E31" xr:uid="{50687676-6CB3-47C4-9EA0-647F220D4150}">
      <formula1>0</formula1>
      <formula2>300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DAF9-8E8C-4AB3-875F-CB0A5365DFF4}">
  <dimension ref="A3:B6"/>
  <sheetViews>
    <sheetView workbookViewId="0">
      <selection activeCell="L17" sqref="L17"/>
    </sheetView>
  </sheetViews>
  <sheetFormatPr baseColWidth="10" defaultRowHeight="15" x14ac:dyDescent="0.25"/>
  <cols>
    <col min="1" max="1" width="10" bestFit="1" customWidth="1"/>
    <col min="2" max="2" width="16.85546875" bestFit="1" customWidth="1"/>
  </cols>
  <sheetData>
    <row r="3" spans="1:2" x14ac:dyDescent="0.25">
      <c r="A3" s="7" t="s">
        <v>1</v>
      </c>
      <c r="B3" t="s">
        <v>16</v>
      </c>
    </row>
    <row r="4" spans="1:2" x14ac:dyDescent="0.25">
      <c r="A4" t="s">
        <v>5</v>
      </c>
      <c r="B4">
        <v>10</v>
      </c>
    </row>
    <row r="5" spans="1:2" x14ac:dyDescent="0.25">
      <c r="A5" t="s">
        <v>6</v>
      </c>
      <c r="B5">
        <v>10</v>
      </c>
    </row>
    <row r="6" spans="1:2" x14ac:dyDescent="0.25">
      <c r="A6" t="s">
        <v>7</v>
      </c>
      <c r="B6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F1F0-F14A-4E4D-8E90-495095BC4741}">
  <dimension ref="A1:I54"/>
  <sheetViews>
    <sheetView topLeftCell="A2" zoomScale="120" zoomScaleNormal="120" workbookViewId="0">
      <selection activeCell="D6" sqref="D6"/>
    </sheetView>
  </sheetViews>
  <sheetFormatPr baseColWidth="10" defaultRowHeight="15" x14ac:dyDescent="0.25"/>
  <cols>
    <col min="1" max="1" width="32.85546875" bestFit="1" customWidth="1"/>
    <col min="2" max="2" width="17.710937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15.85546875" bestFit="1" customWidth="1"/>
  </cols>
  <sheetData>
    <row r="1" spans="1:9" x14ac:dyDescent="0.25">
      <c r="A1" t="s">
        <v>17</v>
      </c>
    </row>
    <row r="2" spans="1:9" ht="15.75" thickBot="1" x14ac:dyDescent="0.3"/>
    <row r="3" spans="1:9" x14ac:dyDescent="0.25">
      <c r="A3" s="10" t="s">
        <v>18</v>
      </c>
      <c r="B3" s="10"/>
    </row>
    <row r="4" spans="1:9" x14ac:dyDescent="0.25">
      <c r="A4" t="s">
        <v>19</v>
      </c>
      <c r="B4">
        <v>0.1284587284634566</v>
      </c>
    </row>
    <row r="5" spans="1:9" x14ac:dyDescent="0.25">
      <c r="A5" t="s">
        <v>20</v>
      </c>
      <c r="B5">
        <v>1.6501644918448074E-2</v>
      </c>
    </row>
    <row r="6" spans="1:9" x14ac:dyDescent="0.25">
      <c r="A6" t="s">
        <v>21</v>
      </c>
      <c r="B6">
        <v>-1.8623296334464495E-2</v>
      </c>
    </row>
    <row r="7" spans="1:9" x14ac:dyDescent="0.25">
      <c r="A7" t="s">
        <v>22</v>
      </c>
      <c r="B7">
        <v>17.10422359723275</v>
      </c>
    </row>
    <row r="8" spans="1:9" ht="15.75" thickBot="1" x14ac:dyDescent="0.3">
      <c r="A8" s="8" t="s">
        <v>23</v>
      </c>
      <c r="B8" s="8">
        <v>30</v>
      </c>
    </row>
    <row r="10" spans="1:9" ht="15.75" thickBot="1" x14ac:dyDescent="0.3">
      <c r="A10" t="s">
        <v>24</v>
      </c>
    </row>
    <row r="11" spans="1:9" x14ac:dyDescent="0.25">
      <c r="A11" s="9"/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</row>
    <row r="12" spans="1:9" x14ac:dyDescent="0.25">
      <c r="A12" t="s">
        <v>25</v>
      </c>
      <c r="B12">
        <v>1</v>
      </c>
      <c r="C12">
        <v>137.44165047092338</v>
      </c>
      <c r="D12">
        <v>137.44165047092338</v>
      </c>
      <c r="E12">
        <v>0.46979850584318783</v>
      </c>
      <c r="F12">
        <v>0.49871574895998771</v>
      </c>
    </row>
    <row r="13" spans="1:9" x14ac:dyDescent="0.25">
      <c r="A13" t="s">
        <v>26</v>
      </c>
      <c r="B13">
        <v>28</v>
      </c>
      <c r="C13">
        <v>8191.525016195742</v>
      </c>
      <c r="D13">
        <v>292.55446486413365</v>
      </c>
    </row>
    <row r="14" spans="1:9" ht="15.75" thickBot="1" x14ac:dyDescent="0.3">
      <c r="A14" s="8" t="s">
        <v>27</v>
      </c>
      <c r="B14" s="8">
        <v>29</v>
      </c>
      <c r="C14" s="8">
        <v>8328.9666666666653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34</v>
      </c>
      <c r="C16" s="9" t="s">
        <v>22</v>
      </c>
      <c r="D16" s="9" t="s">
        <v>35</v>
      </c>
      <c r="E16" s="11" t="s">
        <v>36</v>
      </c>
      <c r="F16" s="9" t="s">
        <v>37</v>
      </c>
      <c r="G16" s="9" t="s">
        <v>38</v>
      </c>
      <c r="H16" s="9" t="s">
        <v>39</v>
      </c>
      <c r="I16" s="9" t="s">
        <v>40</v>
      </c>
    </row>
    <row r="17" spans="1:9" x14ac:dyDescent="0.25">
      <c r="A17" t="s">
        <v>28</v>
      </c>
      <c r="B17">
        <v>40.428489559974082</v>
      </c>
      <c r="C17">
        <v>10.39407618538697</v>
      </c>
      <c r="D17">
        <v>3.8895702551047768</v>
      </c>
      <c r="E17" s="12">
        <v>5.6456893397570265E-4</v>
      </c>
      <c r="F17">
        <v>19.137189669463542</v>
      </c>
      <c r="G17">
        <v>61.719789450484626</v>
      </c>
      <c r="H17">
        <v>19.137189669463542</v>
      </c>
      <c r="I17">
        <v>61.719789450484626</v>
      </c>
    </row>
    <row r="18" spans="1:9" ht="15.75" thickBot="1" x14ac:dyDescent="0.3">
      <c r="A18" s="8" t="s">
        <v>41</v>
      </c>
      <c r="B18" s="8">
        <v>-0.16026311855284778</v>
      </c>
      <c r="C18" s="8">
        <v>0.23381790977596828</v>
      </c>
      <c r="D18" s="8">
        <v>-0.6854184895690979</v>
      </c>
      <c r="E18" s="13">
        <v>0.49871574895998971</v>
      </c>
      <c r="F18" s="8">
        <v>-0.63921739481757733</v>
      </c>
      <c r="G18" s="8">
        <v>0.31869115771188172</v>
      </c>
      <c r="H18" s="8">
        <v>-0.63921739481757733</v>
      </c>
      <c r="I18" s="8">
        <v>0.31869115771188172</v>
      </c>
    </row>
    <row r="22" spans="1:9" x14ac:dyDescent="0.25">
      <c r="A22" t="s">
        <v>42</v>
      </c>
    </row>
    <row r="23" spans="1:9" ht="15.75" thickBot="1" x14ac:dyDescent="0.3"/>
    <row r="24" spans="1:9" x14ac:dyDescent="0.25">
      <c r="A24" s="9" t="s">
        <v>43</v>
      </c>
      <c r="B24" s="9" t="s">
        <v>44</v>
      </c>
      <c r="C24" s="9" t="s">
        <v>26</v>
      </c>
    </row>
    <row r="25" spans="1:9" x14ac:dyDescent="0.25">
      <c r="A25">
        <v>1</v>
      </c>
      <c r="B25">
        <v>34.819280410624408</v>
      </c>
      <c r="C25">
        <v>-12.819280410624408</v>
      </c>
    </row>
    <row r="26" spans="1:9" x14ac:dyDescent="0.25">
      <c r="A26">
        <v>2</v>
      </c>
      <c r="B26">
        <v>35.139806647730104</v>
      </c>
      <c r="C26">
        <v>16.860193352269896</v>
      </c>
    </row>
    <row r="27" spans="1:9" x14ac:dyDescent="0.25">
      <c r="A27">
        <v>3</v>
      </c>
      <c r="B27">
        <v>30.972965565356063</v>
      </c>
      <c r="C27">
        <v>27.027034434643937</v>
      </c>
    </row>
    <row r="28" spans="1:9" x14ac:dyDescent="0.25">
      <c r="A28">
        <v>4</v>
      </c>
      <c r="B28">
        <v>31.774281158120303</v>
      </c>
      <c r="C28">
        <v>3.2257188418796972</v>
      </c>
    </row>
    <row r="29" spans="1:9" x14ac:dyDescent="0.25">
      <c r="A29">
        <v>5</v>
      </c>
      <c r="B29">
        <v>36.902700951811433</v>
      </c>
      <c r="C29">
        <v>17.097299048188567</v>
      </c>
    </row>
    <row r="30" spans="1:9" x14ac:dyDescent="0.25">
      <c r="A30">
        <v>6</v>
      </c>
      <c r="B30">
        <v>33.697438580754479</v>
      </c>
      <c r="C30">
        <v>22.302561419245521</v>
      </c>
    </row>
    <row r="31" spans="1:9" x14ac:dyDescent="0.25">
      <c r="A31">
        <v>7</v>
      </c>
      <c r="B31">
        <v>36.742437833258585</v>
      </c>
      <c r="C31">
        <v>-7.7424378332585846</v>
      </c>
    </row>
    <row r="32" spans="1:9" x14ac:dyDescent="0.25">
      <c r="A32">
        <v>8</v>
      </c>
      <c r="B32">
        <v>36.902700951811433</v>
      </c>
      <c r="C32">
        <v>-16.902700951811433</v>
      </c>
    </row>
    <row r="33" spans="1:3" x14ac:dyDescent="0.25">
      <c r="A33">
        <v>9</v>
      </c>
      <c r="B33">
        <v>34.819280410624408</v>
      </c>
      <c r="C33">
        <v>-22.819280410624408</v>
      </c>
    </row>
    <row r="34" spans="1:3" x14ac:dyDescent="0.25">
      <c r="A34">
        <v>10</v>
      </c>
      <c r="B34">
        <v>36.101385359047192</v>
      </c>
      <c r="C34">
        <v>3.8986146409528075</v>
      </c>
    </row>
    <row r="35" spans="1:3" x14ac:dyDescent="0.25">
      <c r="A35">
        <v>11</v>
      </c>
      <c r="B35">
        <v>30.812702446803215</v>
      </c>
      <c r="C35">
        <v>4.1872975531967853</v>
      </c>
    </row>
    <row r="36" spans="1:3" x14ac:dyDescent="0.25">
      <c r="A36">
        <v>12</v>
      </c>
      <c r="B36">
        <v>31.453754921014607</v>
      </c>
      <c r="C36">
        <v>21.546245078985393</v>
      </c>
    </row>
    <row r="37" spans="1:3" x14ac:dyDescent="0.25">
      <c r="A37">
        <v>13</v>
      </c>
      <c r="B37">
        <v>35.139806647730104</v>
      </c>
      <c r="C37">
        <v>23.860193352269896</v>
      </c>
    </row>
    <row r="38" spans="1:3" x14ac:dyDescent="0.25">
      <c r="A38">
        <v>14</v>
      </c>
      <c r="B38">
        <v>37.062964070364281</v>
      </c>
      <c r="C38">
        <v>11.937035929635719</v>
      </c>
    </row>
    <row r="39" spans="1:3" x14ac:dyDescent="0.25">
      <c r="A39">
        <v>15</v>
      </c>
      <c r="B39">
        <v>34.178227936413016</v>
      </c>
      <c r="C39">
        <v>-29.178227936413016</v>
      </c>
    </row>
    <row r="40" spans="1:3" x14ac:dyDescent="0.25">
      <c r="A40">
        <v>16</v>
      </c>
      <c r="B40">
        <v>31.934544276673151</v>
      </c>
      <c r="C40">
        <v>-19.934544276673151</v>
      </c>
    </row>
    <row r="41" spans="1:3" x14ac:dyDescent="0.25">
      <c r="A41">
        <v>17</v>
      </c>
      <c r="B41">
        <v>33.697438580754479</v>
      </c>
      <c r="C41">
        <v>24.302561419245521</v>
      </c>
    </row>
    <row r="42" spans="1:3" x14ac:dyDescent="0.25">
      <c r="A42">
        <v>18</v>
      </c>
      <c r="B42">
        <v>33.376912343648783</v>
      </c>
      <c r="C42">
        <v>18.623087656351217</v>
      </c>
    </row>
    <row r="43" spans="1:3" x14ac:dyDescent="0.25">
      <c r="A43">
        <v>19</v>
      </c>
      <c r="B43">
        <v>30.972965565356063</v>
      </c>
      <c r="C43">
        <v>-2.9729655653560627</v>
      </c>
    </row>
    <row r="44" spans="1:3" x14ac:dyDescent="0.25">
      <c r="A44">
        <v>20</v>
      </c>
      <c r="B44">
        <v>35.139806647730104</v>
      </c>
      <c r="C44">
        <v>-15.139806647730104</v>
      </c>
    </row>
    <row r="45" spans="1:3" x14ac:dyDescent="0.25">
      <c r="A45">
        <v>21</v>
      </c>
      <c r="B45">
        <v>33.056386106543087</v>
      </c>
      <c r="C45">
        <v>4.9436138934569129</v>
      </c>
    </row>
    <row r="46" spans="1:3" x14ac:dyDescent="0.25">
      <c r="A46">
        <v>22</v>
      </c>
      <c r="B46">
        <v>34.017964817860168</v>
      </c>
      <c r="C46">
        <v>5.9820351821398319</v>
      </c>
    </row>
    <row r="47" spans="1:3" x14ac:dyDescent="0.25">
      <c r="A47">
        <v>23</v>
      </c>
      <c r="B47">
        <v>31.133228683908911</v>
      </c>
      <c r="C47">
        <v>-21.133228683908911</v>
      </c>
    </row>
    <row r="48" spans="1:3" x14ac:dyDescent="0.25">
      <c r="A48">
        <v>24</v>
      </c>
      <c r="B48">
        <v>36.261648477600041</v>
      </c>
      <c r="C48">
        <v>-0.26164847760004051</v>
      </c>
    </row>
    <row r="49" spans="1:3" x14ac:dyDescent="0.25">
      <c r="A49">
        <v>25</v>
      </c>
      <c r="B49">
        <v>30.812702446803215</v>
      </c>
      <c r="C49">
        <v>-4.8127024468032147</v>
      </c>
    </row>
    <row r="50" spans="1:3" x14ac:dyDescent="0.25">
      <c r="A50">
        <v>26</v>
      </c>
      <c r="B50">
        <v>30.972965565356063</v>
      </c>
      <c r="C50">
        <v>-12.972965565356063</v>
      </c>
    </row>
    <row r="51" spans="1:3" x14ac:dyDescent="0.25">
      <c r="A51">
        <v>27</v>
      </c>
      <c r="B51">
        <v>30.972965565356063</v>
      </c>
      <c r="C51">
        <v>-7.9729655653560627</v>
      </c>
    </row>
    <row r="52" spans="1:3" x14ac:dyDescent="0.25">
      <c r="A52">
        <v>28</v>
      </c>
      <c r="B52">
        <v>35.620596003388648</v>
      </c>
      <c r="C52">
        <v>-27.620596003388648</v>
      </c>
    </row>
    <row r="53" spans="1:3" x14ac:dyDescent="0.25">
      <c r="A53">
        <v>29</v>
      </c>
      <c r="B53">
        <v>31.293491802461759</v>
      </c>
      <c r="C53">
        <v>-11.293491802461759</v>
      </c>
    </row>
    <row r="54" spans="1:3" ht="15.75" thickBot="1" x14ac:dyDescent="0.3">
      <c r="A54" s="8">
        <v>30</v>
      </c>
      <c r="B54" s="8">
        <v>33.216649225095935</v>
      </c>
      <c r="C54" s="8">
        <v>7.7833507749040649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4EF8-83DE-4684-9260-EF67F318E0EA}">
  <dimension ref="A1:L31"/>
  <sheetViews>
    <sheetView tabSelected="1" topLeftCell="A2" zoomScale="120" zoomScaleNormal="120" workbookViewId="0">
      <selection activeCell="J3" sqref="J3"/>
    </sheetView>
  </sheetViews>
  <sheetFormatPr baseColWidth="10" defaultRowHeight="15" zeroHeight="1" x14ac:dyDescent="0.25"/>
  <cols>
    <col min="1" max="5" width="11.42578125" style="6"/>
    <col min="7" max="7" width="13.14062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11</v>
      </c>
      <c r="G1" s="4" t="s">
        <v>15</v>
      </c>
    </row>
    <row r="2" spans="1:12" x14ac:dyDescent="0.25">
      <c r="A2" s="5">
        <v>1</v>
      </c>
      <c r="B2" s="5" t="s">
        <v>5</v>
      </c>
      <c r="C2" s="5">
        <v>35</v>
      </c>
      <c r="D2" s="5" t="s">
        <v>8</v>
      </c>
      <c r="E2" s="5">
        <v>22</v>
      </c>
      <c r="F2" s="3" t="str">
        <f>IF(E2&gt;=20,"demorado","normal")</f>
        <v>demorado</v>
      </c>
      <c r="G2" s="3" t="str">
        <f>LOOKUP(E2,$J$6:$K$8,$L$6:$L$8)</f>
        <v>Demorado</v>
      </c>
    </row>
    <row r="3" spans="1:12" x14ac:dyDescent="0.25">
      <c r="A3" s="5">
        <v>2</v>
      </c>
      <c r="B3" s="5" t="s">
        <v>5</v>
      </c>
      <c r="C3" s="5">
        <v>33</v>
      </c>
      <c r="D3" s="5" t="s">
        <v>9</v>
      </c>
      <c r="E3" s="5">
        <v>52</v>
      </c>
      <c r="F3" s="3" t="str">
        <f t="shared" ref="F3:F31" si="0">IF(E3&gt;=20,"demorado","normal")</f>
        <v>demorado</v>
      </c>
      <c r="G3" s="3" t="str">
        <f t="shared" ref="G3:G31" si="1">LOOKUP(E3,$J$6:$K$8,$L$6:$L$8)</f>
        <v>Demorado</v>
      </c>
    </row>
    <row r="4" spans="1:12" x14ac:dyDescent="0.25">
      <c r="A4" s="5">
        <v>3</v>
      </c>
      <c r="B4" s="5" t="s">
        <v>5</v>
      </c>
      <c r="C4" s="5">
        <v>59</v>
      </c>
      <c r="D4" s="5" t="s">
        <v>10</v>
      </c>
      <c r="E4" s="5">
        <v>58</v>
      </c>
      <c r="F4" s="3" t="str">
        <f t="shared" si="0"/>
        <v>demorado</v>
      </c>
      <c r="G4" s="3" t="str">
        <f t="shared" si="1"/>
        <v>Demorado</v>
      </c>
    </row>
    <row r="5" spans="1:12" x14ac:dyDescent="0.25">
      <c r="A5" s="5">
        <v>4</v>
      </c>
      <c r="B5" s="5" t="s">
        <v>5</v>
      </c>
      <c r="C5" s="5">
        <v>54</v>
      </c>
      <c r="D5" s="5" t="s">
        <v>8</v>
      </c>
      <c r="E5" s="5">
        <v>35</v>
      </c>
      <c r="F5" s="3" t="str">
        <f t="shared" si="0"/>
        <v>demorado</v>
      </c>
      <c r="G5" s="3" t="str">
        <f t="shared" si="1"/>
        <v>Demorado</v>
      </c>
    </row>
    <row r="6" spans="1:12" x14ac:dyDescent="0.25">
      <c r="A6" s="5">
        <v>5</v>
      </c>
      <c r="B6" s="5" t="s">
        <v>5</v>
      </c>
      <c r="C6" s="5">
        <v>22</v>
      </c>
      <c r="D6" s="5" t="s">
        <v>9</v>
      </c>
      <c r="E6" s="5">
        <v>54</v>
      </c>
      <c r="F6" s="3" t="str">
        <f t="shared" si="0"/>
        <v>demorado</v>
      </c>
      <c r="G6" s="3" t="str">
        <f t="shared" si="1"/>
        <v>Demorado</v>
      </c>
      <c r="J6">
        <v>0</v>
      </c>
      <c r="K6">
        <v>10</v>
      </c>
      <c r="L6" t="s">
        <v>12</v>
      </c>
    </row>
    <row r="7" spans="1:12" x14ac:dyDescent="0.25">
      <c r="A7" s="5">
        <v>6</v>
      </c>
      <c r="B7" s="5" t="s">
        <v>5</v>
      </c>
      <c r="C7" s="5">
        <v>42</v>
      </c>
      <c r="D7" s="5" t="s">
        <v>10</v>
      </c>
      <c r="E7" s="5">
        <v>56</v>
      </c>
      <c r="F7" s="3" t="str">
        <f t="shared" si="0"/>
        <v>demorado</v>
      </c>
      <c r="G7" s="3" t="str">
        <f t="shared" si="1"/>
        <v>Demorado</v>
      </c>
      <c r="J7">
        <v>10.00001</v>
      </c>
      <c r="K7">
        <v>20</v>
      </c>
      <c r="L7" t="s">
        <v>13</v>
      </c>
    </row>
    <row r="8" spans="1:12" x14ac:dyDescent="0.25">
      <c r="A8" s="5">
        <v>7</v>
      </c>
      <c r="B8" s="5" t="s">
        <v>5</v>
      </c>
      <c r="C8" s="5">
        <v>23</v>
      </c>
      <c r="D8" s="5" t="s">
        <v>8</v>
      </c>
      <c r="E8" s="5">
        <v>29</v>
      </c>
      <c r="F8" s="3" t="str">
        <f t="shared" si="0"/>
        <v>demorado</v>
      </c>
      <c r="G8" s="3" t="str">
        <f t="shared" si="1"/>
        <v>Demorado</v>
      </c>
      <c r="J8">
        <v>20.000001000000001</v>
      </c>
      <c r="K8">
        <v>60</v>
      </c>
      <c r="L8" t="s">
        <v>14</v>
      </c>
    </row>
    <row r="9" spans="1:12" x14ac:dyDescent="0.25">
      <c r="A9" s="5">
        <v>8</v>
      </c>
      <c r="B9" s="5" t="s">
        <v>5</v>
      </c>
      <c r="C9" s="5">
        <v>22</v>
      </c>
      <c r="D9" s="5" t="s">
        <v>9</v>
      </c>
      <c r="E9" s="5">
        <v>20</v>
      </c>
      <c r="F9" s="3" t="str">
        <f t="shared" si="0"/>
        <v>demorado</v>
      </c>
      <c r="G9" s="3" t="str">
        <f t="shared" si="1"/>
        <v>Normal</v>
      </c>
    </row>
    <row r="10" spans="1:12" x14ac:dyDescent="0.25">
      <c r="A10" s="5">
        <v>9</v>
      </c>
      <c r="B10" s="5" t="s">
        <v>5</v>
      </c>
      <c r="C10" s="5">
        <v>35</v>
      </c>
      <c r="D10" s="5" t="s">
        <v>10</v>
      </c>
      <c r="E10" s="5">
        <v>12</v>
      </c>
      <c r="F10" s="3" t="str">
        <f t="shared" si="0"/>
        <v>normal</v>
      </c>
      <c r="G10" s="3" t="str">
        <f t="shared" si="1"/>
        <v>Normal</v>
      </c>
    </row>
    <row r="11" spans="1:12" x14ac:dyDescent="0.25">
      <c r="A11" s="5">
        <v>10</v>
      </c>
      <c r="B11" s="5" t="s">
        <v>5</v>
      </c>
      <c r="C11" s="5">
        <v>27</v>
      </c>
      <c r="D11" s="5" t="s">
        <v>8</v>
      </c>
      <c r="E11" s="5">
        <v>40</v>
      </c>
      <c r="F11" s="3" t="str">
        <f t="shared" si="0"/>
        <v>demorado</v>
      </c>
      <c r="G11" s="3" t="str">
        <f t="shared" si="1"/>
        <v>Demorado</v>
      </c>
    </row>
    <row r="12" spans="1:12" x14ac:dyDescent="0.25">
      <c r="A12" s="5">
        <v>11</v>
      </c>
      <c r="B12" s="5" t="s">
        <v>6</v>
      </c>
      <c r="C12" s="5">
        <v>60</v>
      </c>
      <c r="D12" s="5" t="s">
        <v>9</v>
      </c>
      <c r="E12" s="5">
        <v>35</v>
      </c>
      <c r="F12" s="3" t="str">
        <f t="shared" si="0"/>
        <v>demorado</v>
      </c>
      <c r="G12" s="3" t="str">
        <f t="shared" si="1"/>
        <v>Demorado</v>
      </c>
    </row>
    <row r="13" spans="1:12" x14ac:dyDescent="0.25">
      <c r="A13" s="5">
        <v>12</v>
      </c>
      <c r="B13" s="5" t="s">
        <v>6</v>
      </c>
      <c r="C13" s="5">
        <v>56</v>
      </c>
      <c r="D13" s="5" t="s">
        <v>10</v>
      </c>
      <c r="E13" s="5">
        <v>53</v>
      </c>
      <c r="F13" s="3" t="str">
        <f t="shared" si="0"/>
        <v>demorado</v>
      </c>
      <c r="G13" s="3" t="str">
        <f t="shared" si="1"/>
        <v>Demorado</v>
      </c>
    </row>
    <row r="14" spans="1:12" x14ac:dyDescent="0.25">
      <c r="A14" s="5">
        <v>13</v>
      </c>
      <c r="B14" s="5" t="s">
        <v>6</v>
      </c>
      <c r="C14" s="5">
        <v>33</v>
      </c>
      <c r="D14" s="5" t="s">
        <v>8</v>
      </c>
      <c r="E14" s="5">
        <v>59</v>
      </c>
      <c r="F14" s="3" t="str">
        <f t="shared" si="0"/>
        <v>demorado</v>
      </c>
      <c r="G14" s="3" t="str">
        <f t="shared" si="1"/>
        <v>Demorado</v>
      </c>
    </row>
    <row r="15" spans="1:12" x14ac:dyDescent="0.25">
      <c r="A15" s="5">
        <v>14</v>
      </c>
      <c r="B15" s="5" t="s">
        <v>6</v>
      </c>
      <c r="C15" s="5">
        <v>21</v>
      </c>
      <c r="D15" s="5" t="s">
        <v>9</v>
      </c>
      <c r="E15" s="5">
        <v>49</v>
      </c>
      <c r="F15" s="3" t="str">
        <f t="shared" si="0"/>
        <v>demorado</v>
      </c>
      <c r="G15" s="3" t="str">
        <f t="shared" si="1"/>
        <v>Demorado</v>
      </c>
    </row>
    <row r="16" spans="1:12" x14ac:dyDescent="0.25">
      <c r="A16" s="5">
        <v>15</v>
      </c>
      <c r="B16" s="5" t="s">
        <v>6</v>
      </c>
      <c r="C16" s="5">
        <v>39</v>
      </c>
      <c r="D16" s="5" t="s">
        <v>10</v>
      </c>
      <c r="E16" s="5">
        <v>5</v>
      </c>
      <c r="F16" s="3" t="str">
        <f t="shared" si="0"/>
        <v>normal</v>
      </c>
      <c r="G16" s="3" t="str">
        <f t="shared" si="1"/>
        <v>Eficiente</v>
      </c>
    </row>
    <row r="17" spans="1:7" x14ac:dyDescent="0.25">
      <c r="A17" s="5">
        <v>16</v>
      </c>
      <c r="B17" s="5" t="s">
        <v>6</v>
      </c>
      <c r="C17" s="5">
        <v>53</v>
      </c>
      <c r="D17" s="5" t="s">
        <v>8</v>
      </c>
      <c r="E17" s="5">
        <v>12</v>
      </c>
      <c r="F17" s="3" t="str">
        <f t="shared" si="0"/>
        <v>normal</v>
      </c>
      <c r="G17" s="3" t="str">
        <f t="shared" si="1"/>
        <v>Normal</v>
      </c>
    </row>
    <row r="18" spans="1:7" x14ac:dyDescent="0.25">
      <c r="A18" s="5">
        <v>17</v>
      </c>
      <c r="B18" s="5" t="s">
        <v>6</v>
      </c>
      <c r="C18" s="5">
        <v>42</v>
      </c>
      <c r="D18" s="5" t="s">
        <v>9</v>
      </c>
      <c r="E18" s="5">
        <v>58</v>
      </c>
      <c r="F18" s="3" t="str">
        <f t="shared" si="0"/>
        <v>demorado</v>
      </c>
      <c r="G18" s="3" t="str">
        <f t="shared" si="1"/>
        <v>Demorado</v>
      </c>
    </row>
    <row r="19" spans="1:7" x14ac:dyDescent="0.25">
      <c r="A19" s="5">
        <v>18</v>
      </c>
      <c r="B19" s="5" t="s">
        <v>6</v>
      </c>
      <c r="C19" s="5">
        <v>44</v>
      </c>
      <c r="D19" s="5" t="s">
        <v>10</v>
      </c>
      <c r="E19" s="5">
        <v>52</v>
      </c>
      <c r="F19" s="3" t="str">
        <f t="shared" si="0"/>
        <v>demorado</v>
      </c>
      <c r="G19" s="3" t="str">
        <f t="shared" si="1"/>
        <v>Demorado</v>
      </c>
    </row>
    <row r="20" spans="1:7" x14ac:dyDescent="0.25">
      <c r="A20" s="5">
        <v>19</v>
      </c>
      <c r="B20" s="5" t="s">
        <v>6</v>
      </c>
      <c r="C20" s="5">
        <v>59</v>
      </c>
      <c r="D20" s="5" t="s">
        <v>8</v>
      </c>
      <c r="E20" s="5">
        <v>28</v>
      </c>
      <c r="F20" s="3" t="str">
        <f t="shared" si="0"/>
        <v>demorado</v>
      </c>
      <c r="G20" s="3" t="str">
        <f t="shared" si="1"/>
        <v>Demorado</v>
      </c>
    </row>
    <row r="21" spans="1:7" x14ac:dyDescent="0.25">
      <c r="A21" s="5">
        <v>20</v>
      </c>
      <c r="B21" s="5" t="s">
        <v>6</v>
      </c>
      <c r="C21" s="5">
        <v>33</v>
      </c>
      <c r="D21" s="5" t="s">
        <v>9</v>
      </c>
      <c r="E21" s="5">
        <v>20</v>
      </c>
      <c r="F21" s="3" t="str">
        <f t="shared" si="0"/>
        <v>demorado</v>
      </c>
      <c r="G21" s="3" t="str">
        <f t="shared" si="1"/>
        <v>Normal</v>
      </c>
    </row>
    <row r="22" spans="1:7" x14ac:dyDescent="0.25">
      <c r="A22" s="5">
        <v>21</v>
      </c>
      <c r="B22" s="5" t="s">
        <v>7</v>
      </c>
      <c r="C22" s="5">
        <v>46</v>
      </c>
      <c r="D22" s="5" t="s">
        <v>10</v>
      </c>
      <c r="E22" s="5">
        <v>38</v>
      </c>
      <c r="F22" s="3" t="str">
        <f t="shared" si="0"/>
        <v>demorado</v>
      </c>
      <c r="G22" s="3" t="str">
        <f t="shared" si="1"/>
        <v>Demorado</v>
      </c>
    </row>
    <row r="23" spans="1:7" x14ac:dyDescent="0.25">
      <c r="A23" s="5">
        <v>22</v>
      </c>
      <c r="B23" s="5" t="s">
        <v>7</v>
      </c>
      <c r="C23" s="5">
        <v>40</v>
      </c>
      <c r="D23" s="5" t="s">
        <v>8</v>
      </c>
      <c r="E23" s="5">
        <v>40</v>
      </c>
      <c r="F23" s="3" t="str">
        <f t="shared" si="0"/>
        <v>demorado</v>
      </c>
      <c r="G23" s="3" t="str">
        <f t="shared" si="1"/>
        <v>Demorado</v>
      </c>
    </row>
    <row r="24" spans="1:7" x14ac:dyDescent="0.25">
      <c r="A24" s="5">
        <v>23</v>
      </c>
      <c r="B24" s="5" t="s">
        <v>7</v>
      </c>
      <c r="C24" s="5">
        <v>58</v>
      </c>
      <c r="D24" s="5" t="s">
        <v>9</v>
      </c>
      <c r="E24" s="5">
        <v>10</v>
      </c>
      <c r="F24" s="3" t="str">
        <f t="shared" si="0"/>
        <v>normal</v>
      </c>
      <c r="G24" s="3" t="str">
        <f t="shared" si="1"/>
        <v>Eficiente</v>
      </c>
    </row>
    <row r="25" spans="1:7" x14ac:dyDescent="0.25">
      <c r="A25" s="5">
        <v>24</v>
      </c>
      <c r="B25" s="5" t="s">
        <v>7</v>
      </c>
      <c r="C25" s="5">
        <v>26</v>
      </c>
      <c r="D25" s="5" t="s">
        <v>10</v>
      </c>
      <c r="E25" s="5">
        <v>36</v>
      </c>
      <c r="F25" s="3" t="str">
        <f t="shared" si="0"/>
        <v>demorado</v>
      </c>
      <c r="G25" s="3" t="str">
        <f t="shared" si="1"/>
        <v>Demorado</v>
      </c>
    </row>
    <row r="26" spans="1:7" x14ac:dyDescent="0.25">
      <c r="A26" s="5">
        <v>25</v>
      </c>
      <c r="B26" s="5" t="s">
        <v>7</v>
      </c>
      <c r="C26" s="5">
        <v>60</v>
      </c>
      <c r="D26" s="5" t="s">
        <v>8</v>
      </c>
      <c r="E26" s="5">
        <v>26</v>
      </c>
      <c r="F26" s="3" t="str">
        <f t="shared" si="0"/>
        <v>demorado</v>
      </c>
      <c r="G26" s="3" t="str">
        <f t="shared" si="1"/>
        <v>Demorado</v>
      </c>
    </row>
    <row r="27" spans="1:7" x14ac:dyDescent="0.25">
      <c r="A27" s="5">
        <v>26</v>
      </c>
      <c r="B27" s="5" t="s">
        <v>7</v>
      </c>
      <c r="C27" s="5">
        <v>59</v>
      </c>
      <c r="D27" s="5" t="s">
        <v>9</v>
      </c>
      <c r="E27" s="5">
        <v>18</v>
      </c>
      <c r="F27" s="3" t="str">
        <f t="shared" si="0"/>
        <v>normal</v>
      </c>
      <c r="G27" s="3" t="str">
        <f t="shared" si="1"/>
        <v>Normal</v>
      </c>
    </row>
    <row r="28" spans="1:7" x14ac:dyDescent="0.25">
      <c r="A28" s="5">
        <v>27</v>
      </c>
      <c r="B28" s="5" t="s">
        <v>7</v>
      </c>
      <c r="C28" s="5">
        <v>59</v>
      </c>
      <c r="D28" s="5" t="s">
        <v>10</v>
      </c>
      <c r="E28" s="5">
        <v>23</v>
      </c>
      <c r="F28" s="3" t="str">
        <f t="shared" si="0"/>
        <v>demorado</v>
      </c>
      <c r="G28" s="3" t="str">
        <f t="shared" si="1"/>
        <v>Demorado</v>
      </c>
    </row>
    <row r="29" spans="1:7" x14ac:dyDescent="0.25">
      <c r="A29" s="5">
        <v>28</v>
      </c>
      <c r="B29" s="5" t="s">
        <v>7</v>
      </c>
      <c r="C29" s="5">
        <v>30</v>
      </c>
      <c r="D29" s="5" t="s">
        <v>8</v>
      </c>
      <c r="E29" s="5">
        <v>8</v>
      </c>
      <c r="F29" s="3" t="str">
        <f t="shared" si="0"/>
        <v>normal</v>
      </c>
      <c r="G29" s="3" t="str">
        <f t="shared" si="1"/>
        <v>Eficiente</v>
      </c>
    </row>
    <row r="30" spans="1:7" x14ac:dyDescent="0.25">
      <c r="A30" s="5">
        <v>29</v>
      </c>
      <c r="B30" s="5" t="s">
        <v>7</v>
      </c>
      <c r="C30" s="5">
        <v>57</v>
      </c>
      <c r="D30" s="5" t="s">
        <v>9</v>
      </c>
      <c r="E30" s="5">
        <v>20</v>
      </c>
      <c r="F30" s="3" t="str">
        <f t="shared" si="0"/>
        <v>demorado</v>
      </c>
      <c r="G30" s="3" t="str">
        <f t="shared" si="1"/>
        <v>Normal</v>
      </c>
    </row>
    <row r="31" spans="1:7" x14ac:dyDescent="0.25">
      <c r="A31" s="5">
        <v>30</v>
      </c>
      <c r="B31" s="5" t="s">
        <v>7</v>
      </c>
      <c r="C31" s="5">
        <v>45</v>
      </c>
      <c r="D31" s="5" t="s">
        <v>10</v>
      </c>
      <c r="E31" s="5">
        <v>41</v>
      </c>
      <c r="F31" s="3" t="str">
        <f t="shared" si="0"/>
        <v>demorado</v>
      </c>
      <c r="G31" s="3" t="str">
        <f t="shared" si="1"/>
        <v>Demorado</v>
      </c>
    </row>
  </sheetData>
  <autoFilter ref="A1:E31" xr:uid="{E6784EF8-83DE-4684-9260-EF67F318E0EA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93B5-A9AD-4C6D-9001-C11997E3E08D}">
  <dimension ref="A1:B31"/>
  <sheetViews>
    <sheetView zoomScaleNormal="100" workbookViewId="0">
      <selection activeCell="O19" sqref="O19"/>
    </sheetView>
  </sheetViews>
  <sheetFormatPr baseColWidth="10" defaultRowHeight="15" x14ac:dyDescent="0.25"/>
  <sheetData>
    <row r="1" spans="1:2" x14ac:dyDescent="0.25">
      <c r="A1" s="4" t="s">
        <v>3</v>
      </c>
      <c r="B1" s="4" t="s">
        <v>4</v>
      </c>
    </row>
    <row r="2" spans="1:2" x14ac:dyDescent="0.25">
      <c r="A2" s="5" t="s">
        <v>8</v>
      </c>
      <c r="B2" s="5">
        <v>22</v>
      </c>
    </row>
    <row r="3" spans="1:2" x14ac:dyDescent="0.25">
      <c r="A3" s="5" t="s">
        <v>9</v>
      </c>
      <c r="B3" s="5">
        <v>52</v>
      </c>
    </row>
    <row r="4" spans="1:2" x14ac:dyDescent="0.25">
      <c r="A4" s="5" t="s">
        <v>10</v>
      </c>
      <c r="B4" s="5">
        <v>58</v>
      </c>
    </row>
    <row r="5" spans="1:2" x14ac:dyDescent="0.25">
      <c r="A5" s="5" t="s">
        <v>8</v>
      </c>
      <c r="B5" s="5">
        <v>35</v>
      </c>
    </row>
    <row r="6" spans="1:2" x14ac:dyDescent="0.25">
      <c r="A6" s="5" t="s">
        <v>9</v>
      </c>
      <c r="B6" s="5">
        <v>54</v>
      </c>
    </row>
    <row r="7" spans="1:2" x14ac:dyDescent="0.25">
      <c r="A7" s="5" t="s">
        <v>10</v>
      </c>
      <c r="B7" s="5">
        <v>56</v>
      </c>
    </row>
    <row r="8" spans="1:2" x14ac:dyDescent="0.25">
      <c r="A8" s="5" t="s">
        <v>8</v>
      </c>
      <c r="B8" s="5">
        <v>29</v>
      </c>
    </row>
    <row r="9" spans="1:2" x14ac:dyDescent="0.25">
      <c r="A9" s="5" t="s">
        <v>9</v>
      </c>
      <c r="B9" s="5">
        <v>20</v>
      </c>
    </row>
    <row r="10" spans="1:2" x14ac:dyDescent="0.25">
      <c r="A10" s="5" t="s">
        <v>10</v>
      </c>
      <c r="B10" s="5">
        <v>12</v>
      </c>
    </row>
    <row r="11" spans="1:2" x14ac:dyDescent="0.25">
      <c r="A11" s="5" t="s">
        <v>8</v>
      </c>
      <c r="B11" s="5">
        <v>40</v>
      </c>
    </row>
    <row r="12" spans="1:2" x14ac:dyDescent="0.25">
      <c r="A12" s="5" t="s">
        <v>9</v>
      </c>
      <c r="B12" s="5">
        <v>35</v>
      </c>
    </row>
    <row r="13" spans="1:2" x14ac:dyDescent="0.25">
      <c r="A13" s="5" t="s">
        <v>10</v>
      </c>
      <c r="B13" s="5">
        <v>53</v>
      </c>
    </row>
    <row r="14" spans="1:2" x14ac:dyDescent="0.25">
      <c r="A14" s="5" t="s">
        <v>8</v>
      </c>
      <c r="B14" s="5">
        <v>59</v>
      </c>
    </row>
    <row r="15" spans="1:2" x14ac:dyDescent="0.25">
      <c r="A15" s="5" t="s">
        <v>9</v>
      </c>
      <c r="B15" s="5">
        <v>49</v>
      </c>
    </row>
    <row r="16" spans="1:2" x14ac:dyDescent="0.25">
      <c r="A16" s="5" t="s">
        <v>10</v>
      </c>
      <c r="B16" s="5">
        <v>5</v>
      </c>
    </row>
    <row r="17" spans="1:2" x14ac:dyDescent="0.25">
      <c r="A17" s="5" t="s">
        <v>8</v>
      </c>
      <c r="B17" s="5">
        <v>12</v>
      </c>
    </row>
    <row r="18" spans="1:2" x14ac:dyDescent="0.25">
      <c r="A18" s="5" t="s">
        <v>9</v>
      </c>
      <c r="B18" s="5">
        <v>58</v>
      </c>
    </row>
    <row r="19" spans="1:2" x14ac:dyDescent="0.25">
      <c r="A19" s="5" t="s">
        <v>10</v>
      </c>
      <c r="B19" s="5">
        <v>52</v>
      </c>
    </row>
    <row r="20" spans="1:2" x14ac:dyDescent="0.25">
      <c r="A20" s="5" t="s">
        <v>8</v>
      </c>
      <c r="B20" s="5">
        <v>28</v>
      </c>
    </row>
    <row r="21" spans="1:2" x14ac:dyDescent="0.25">
      <c r="A21" s="5" t="s">
        <v>9</v>
      </c>
      <c r="B21" s="5">
        <v>20</v>
      </c>
    </row>
    <row r="22" spans="1:2" x14ac:dyDescent="0.25">
      <c r="A22" s="5" t="s">
        <v>10</v>
      </c>
      <c r="B22" s="5">
        <v>38</v>
      </c>
    </row>
    <row r="23" spans="1:2" x14ac:dyDescent="0.25">
      <c r="A23" s="5" t="s">
        <v>8</v>
      </c>
      <c r="B23" s="5">
        <v>40</v>
      </c>
    </row>
    <row r="24" spans="1:2" x14ac:dyDescent="0.25">
      <c r="A24" s="5" t="s">
        <v>9</v>
      </c>
      <c r="B24" s="5">
        <v>10</v>
      </c>
    </row>
    <row r="25" spans="1:2" x14ac:dyDescent="0.25">
      <c r="A25" s="5" t="s">
        <v>10</v>
      </c>
      <c r="B25" s="5">
        <v>36</v>
      </c>
    </row>
    <row r="26" spans="1:2" x14ac:dyDescent="0.25">
      <c r="A26" s="5" t="s">
        <v>8</v>
      </c>
      <c r="B26" s="5">
        <v>26</v>
      </c>
    </row>
    <row r="27" spans="1:2" x14ac:dyDescent="0.25">
      <c r="A27" s="5" t="s">
        <v>9</v>
      </c>
      <c r="B27" s="5">
        <v>18</v>
      </c>
    </row>
    <row r="28" spans="1:2" x14ac:dyDescent="0.25">
      <c r="A28" s="5" t="s">
        <v>10</v>
      </c>
      <c r="B28" s="5">
        <v>23</v>
      </c>
    </row>
    <row r="29" spans="1:2" x14ac:dyDescent="0.25">
      <c r="A29" s="5" t="s">
        <v>8</v>
      </c>
      <c r="B29" s="5">
        <v>8</v>
      </c>
    </row>
    <row r="30" spans="1:2" x14ac:dyDescent="0.25">
      <c r="A30" s="5" t="s">
        <v>9</v>
      </c>
      <c r="B30" s="5">
        <v>20</v>
      </c>
    </row>
    <row r="31" spans="1:2" x14ac:dyDescent="0.25">
      <c r="A31" s="5" t="s">
        <v>10</v>
      </c>
      <c r="B31" s="5">
        <v>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ED82-A3E4-464B-808E-73687BDFA091}">
  <dimension ref="A1:E11"/>
  <sheetViews>
    <sheetView workbookViewId="0">
      <selection sqref="A1:E11"/>
    </sheetView>
  </sheetViews>
  <sheetFormatPr baseColWidth="10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 t="s">
        <v>5</v>
      </c>
      <c r="C2" s="3">
        <v>35</v>
      </c>
      <c r="D2" s="3" t="s">
        <v>8</v>
      </c>
      <c r="E2" s="3">
        <v>22</v>
      </c>
    </row>
    <row r="3" spans="1:5" x14ac:dyDescent="0.25">
      <c r="A3" s="3">
        <v>2</v>
      </c>
      <c r="B3" s="3" t="s">
        <v>5</v>
      </c>
      <c r="C3" s="3">
        <v>33</v>
      </c>
      <c r="D3" s="3" t="s">
        <v>9</v>
      </c>
      <c r="E3" s="3">
        <v>52</v>
      </c>
    </row>
    <row r="4" spans="1:5" x14ac:dyDescent="0.25">
      <c r="A4" s="3">
        <v>3</v>
      </c>
      <c r="B4" s="3" t="s">
        <v>5</v>
      </c>
      <c r="C4" s="3">
        <v>59</v>
      </c>
      <c r="D4" s="3" t="s">
        <v>10</v>
      </c>
      <c r="E4" s="3">
        <v>58</v>
      </c>
    </row>
    <row r="5" spans="1:5" x14ac:dyDescent="0.25">
      <c r="A5" s="3">
        <v>4</v>
      </c>
      <c r="B5" s="3" t="s">
        <v>5</v>
      </c>
      <c r="C5" s="3">
        <v>54</v>
      </c>
      <c r="D5" s="3" t="s">
        <v>8</v>
      </c>
      <c r="E5" s="3">
        <v>35</v>
      </c>
    </row>
    <row r="6" spans="1:5" x14ac:dyDescent="0.25">
      <c r="A6" s="3">
        <v>5</v>
      </c>
      <c r="B6" s="3" t="s">
        <v>5</v>
      </c>
      <c r="C6" s="3">
        <v>22</v>
      </c>
      <c r="D6" s="3" t="s">
        <v>9</v>
      </c>
      <c r="E6" s="3">
        <v>54</v>
      </c>
    </row>
    <row r="7" spans="1:5" x14ac:dyDescent="0.25">
      <c r="A7" s="3">
        <v>6</v>
      </c>
      <c r="B7" s="3" t="s">
        <v>5</v>
      </c>
      <c r="C7" s="3">
        <v>42</v>
      </c>
      <c r="D7" s="3" t="s">
        <v>10</v>
      </c>
      <c r="E7" s="3">
        <v>56</v>
      </c>
    </row>
    <row r="8" spans="1:5" x14ac:dyDescent="0.25">
      <c r="A8" s="3">
        <v>7</v>
      </c>
      <c r="B8" s="3" t="s">
        <v>5</v>
      </c>
      <c r="C8" s="3">
        <v>23</v>
      </c>
      <c r="D8" s="3" t="s">
        <v>8</v>
      </c>
      <c r="E8" s="3">
        <v>29</v>
      </c>
    </row>
    <row r="9" spans="1:5" x14ac:dyDescent="0.25">
      <c r="A9" s="3">
        <v>8</v>
      </c>
      <c r="B9" s="3" t="s">
        <v>5</v>
      </c>
      <c r="C9" s="3">
        <v>22</v>
      </c>
      <c r="D9" s="3" t="s">
        <v>9</v>
      </c>
      <c r="E9" s="3">
        <v>20</v>
      </c>
    </row>
    <row r="10" spans="1:5" x14ac:dyDescent="0.25">
      <c r="A10" s="3">
        <v>9</v>
      </c>
      <c r="B10" s="3" t="s">
        <v>5</v>
      </c>
      <c r="C10" s="3">
        <v>35</v>
      </c>
      <c r="D10" s="3" t="s">
        <v>10</v>
      </c>
      <c r="E10" s="3">
        <v>12</v>
      </c>
    </row>
    <row r="11" spans="1:5" x14ac:dyDescent="0.25">
      <c r="A11" s="3">
        <v>10</v>
      </c>
      <c r="B11" s="3" t="s">
        <v>5</v>
      </c>
      <c r="C11" s="3">
        <v>27</v>
      </c>
      <c r="D11" s="3" t="s">
        <v>8</v>
      </c>
      <c r="E11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</vt:lpstr>
      <vt:lpstr>graficoGenero</vt:lpstr>
      <vt:lpstr>Hoja6</vt:lpstr>
      <vt:lpstr>dataTiempo</vt:lpstr>
      <vt:lpstr>Hoja5</vt:lpstr>
      <vt:lpstr>dataFemenino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2026-02-20T12:07:50Z</dcterms:created>
  <dcterms:modified xsi:type="dcterms:W3CDTF">2026-02-20T14:50:03Z</dcterms:modified>
</cp:coreProperties>
</file>